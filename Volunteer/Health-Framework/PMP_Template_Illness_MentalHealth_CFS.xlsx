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&amp; Summary" sheetId="1" state="visible" r:id="rId1"/>
    <sheet xmlns:r="http://schemas.openxmlformats.org/officeDocument/2006/relationships" name="Project Charter &amp; Scope" sheetId="2" state="visible" r:id="rId2"/>
    <sheet xmlns:r="http://schemas.openxmlformats.org/officeDocument/2006/relationships" name="WBS &amp; Pacing Schedule" sheetId="3" state="visible" r:id="rId3"/>
    <sheet xmlns:r="http://schemas.openxmlformats.org/officeDocument/2006/relationships" name="Risk &amp; Trigger Register" sheetId="4" state="visible" r:id="rId4"/>
    <sheet xmlns:r="http://schemas.openxmlformats.org/officeDocument/2006/relationships" name="Stakeholder &amp; Care Team" sheetId="5" state="visible" r:id="rId5"/>
    <sheet xmlns:r="http://schemas.openxmlformats.org/officeDocument/2006/relationships" name="Health Metrics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1F4E79"/>
      <sz val="13"/>
    </font>
    <font>
      <name val="Calibri"/>
      <b val="1"/>
      <color rgb="001F4E79"/>
      <sz val="12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5F9"/>
        <bgColor rgb="00F2F5F9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7" fillId="5" borderId="1" pivotButton="0" quotePrefix="0" xfId="0"/>
    <xf numFmtId="165" fontId="7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7" fillId="3" borderId="1" pivotButton="0" quotePrefix="0" xfId="0"/>
    <xf numFmtId="165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5" fillId="2" borderId="0" pivotButton="0" quotePrefix="0" xfId="0"/>
    <xf numFmtId="0" fontId="3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Energy Budget vs Actual Expenditure (Spoons)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&amp; Summary'!C8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Summary'!$A$9:$A$12</f>
            </numRef>
          </cat>
          <val>
            <numRef>
              <f>'Dashboard &amp; Summary'!$C$9:$C$12</f>
            </numRef>
          </val>
        </ser>
        <ser>
          <idx val="1"/>
          <order val="1"/>
          <tx>
            <strRef>
              <f>'Dashboard &amp; Summary'!D8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&amp; Summary'!$A$9:$A$12</f>
            </numRef>
          </cat>
          <val>
            <numRef>
              <f>'Dashboard &amp; Summary'!$D$9:$D$12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Life Domain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Spoons /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32" customWidth="1" min="2" max="2"/>
    <col width="45" customWidth="1" min="3" max="3"/>
    <col width="46" customWidth="1" min="4" max="4"/>
    <col width="45" customWidth="1" min="5" max="5"/>
    <col width="14" customWidth="1" min="6" max="6"/>
    <col width="53" customWidth="1" min="7" max="7"/>
    <col width="14" customWidth="1" min="8" max="8"/>
  </cols>
  <sheetData>
    <row r="1">
      <c r="A1" s="1" t="inlineStr">
        <is>
          <t>PMP Project Dashboard: Chronic Illness &amp; CFS Management Framework</t>
        </is>
      </c>
    </row>
    <row r="2">
      <c r="A2" s="2" t="inlineStr">
        <is>
          <t>Integrative PMBOK Framework for Pacing, Energy Governance, and Health Baseline Recovery</t>
        </is>
      </c>
    </row>
    <row r="3"/>
    <row r="4">
      <c r="A4" s="3" t="inlineStr">
        <is>
          <t>Current Project Phase</t>
        </is>
      </c>
      <c r="B4" s="4" t="n"/>
      <c r="C4" s="3" t="inlineStr">
        <is>
          <t>Baseline Energy Budget (Spoons/Day)</t>
        </is>
      </c>
      <c r="D4" s="4" t="n"/>
      <c r="E4" s="3" t="inlineStr">
        <is>
          <t>Pacing Compliance Index</t>
        </is>
      </c>
      <c r="F4" s="4" t="n"/>
      <c r="G4" s="3" t="inlineStr">
        <is>
          <t>Active Flare Triggers/Risks</t>
        </is>
      </c>
      <c r="H4" s="4" t="n"/>
    </row>
    <row r="5">
      <c r="A5" s="5" t="inlineStr">
        <is>
          <t>Execution &amp; Pacing</t>
        </is>
      </c>
      <c r="B5" s="4" t="n"/>
      <c r="C5" s="6">
        <f>AVERAGE('Health Metrics Tracker'!B5:B18)</f>
        <v/>
      </c>
      <c r="D5" s="4" t="n"/>
      <c r="E5" s="7">
        <f>AVERAGE('Health Metrics Tracker'!E5:E18)</f>
        <v/>
      </c>
      <c r="F5" s="4" t="n"/>
      <c r="G5" s="6">
        <f>COUNTIF('Risk &amp; Trigger Register'!F5:F9, "&gt;=12")</f>
        <v/>
      </c>
      <c r="H5" s="4" t="n"/>
    </row>
    <row r="6"/>
    <row r="7">
      <c r="A7" s="8" t="inlineStr">
        <is>
          <t>Key Life Domain Energy Allocations (Spoon Budgeting)</t>
        </is>
      </c>
    </row>
    <row r="8">
      <c r="A8" s="9" t="inlineStr">
        <is>
          <t>Domain / Workstream</t>
        </is>
      </c>
      <c r="B8" s="9" t="inlineStr">
        <is>
          <t>Target Energy Allocation (%)</t>
        </is>
      </c>
      <c r="C8" s="9" t="inlineStr">
        <is>
          <t>Weekly Spoon Budget</t>
        </is>
      </c>
      <c r="D8" s="9" t="inlineStr">
        <is>
          <t>Actual Spent (Avg)</t>
        </is>
      </c>
      <c r="E8" s="9" t="inlineStr">
        <is>
          <t>Variance</t>
        </is>
      </c>
    </row>
    <row r="9">
      <c r="A9" s="10" t="inlineStr">
        <is>
          <t>Medical &amp; Treatment Governance</t>
        </is>
      </c>
      <c r="B9" s="11" t="n">
        <v>0.2</v>
      </c>
      <c r="C9" s="12" t="n">
        <v>20</v>
      </c>
      <c r="D9" s="13">
        <f>AVERAGE('Health Metrics Tracker'!C5:C8)</f>
        <v/>
      </c>
      <c r="E9" s="13">
        <f>C9-D9</f>
        <v/>
      </c>
    </row>
    <row r="10">
      <c r="A10" s="14" t="inlineStr">
        <is>
          <t>Essential Daily Living &amp; Pacing</t>
        </is>
      </c>
      <c r="B10" s="15" t="n">
        <v>0.35</v>
      </c>
      <c r="C10" s="16" t="n">
        <v>35</v>
      </c>
      <c r="D10" s="17">
        <f>AVERAGE('Health Metrics Tracker'!C9:C12)</f>
        <v/>
      </c>
      <c r="E10" s="17">
        <f>C10-D10</f>
        <v/>
      </c>
    </row>
    <row r="11">
      <c r="A11" s="10" t="inlineStr">
        <is>
          <t>Work &amp; Vocational Adaptations</t>
        </is>
      </c>
      <c r="B11" s="11" t="n">
        <v>0.25</v>
      </c>
      <c r="C11" s="12" t="n">
        <v>25</v>
      </c>
      <c r="D11" s="13">
        <f>AVERAGE('Health Metrics Tracker'!C13:C15)</f>
        <v/>
      </c>
      <c r="E11" s="13">
        <f>C11-D11</f>
        <v/>
      </c>
    </row>
    <row r="12">
      <c r="A12" s="14" t="inlineStr">
        <is>
          <t>Emotional &amp; Cognitive Regulation</t>
        </is>
      </c>
      <c r="B12" s="15" t="n">
        <v>0.2</v>
      </c>
      <c r="C12" s="16" t="n">
        <v>20</v>
      </c>
      <c r="D12" s="17">
        <f>AVERAGE('Health Metrics Tracker'!C16:C18)</f>
        <v/>
      </c>
      <c r="E12" s="17">
        <f>C12-D12</f>
        <v/>
      </c>
    </row>
  </sheetData>
  <mergeCells count="8">
    <mergeCell ref="A4:B4"/>
    <mergeCell ref="G4:H4"/>
    <mergeCell ref="E4:F4"/>
    <mergeCell ref="C5:D5"/>
    <mergeCell ref="A5:B5"/>
    <mergeCell ref="G5:H5"/>
    <mergeCell ref="E5:F5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47" customWidth="1" min="2" max="2"/>
    <col width="14" customWidth="1" min="3" max="3"/>
  </cols>
  <sheetData>
    <row r="1">
      <c r="A1" s="1" t="inlineStr">
        <is>
          <t>Project Charter &amp; Scope Statement</t>
        </is>
      </c>
    </row>
    <row r="2">
      <c r="A2" s="2" t="inlineStr">
        <is>
          <t>Formal alignment of health goals, boundaries, constraints, and success criteria</t>
        </is>
      </c>
    </row>
    <row r="3"/>
    <row r="4">
      <c r="A4" s="18" t="inlineStr">
        <is>
          <t>1. Project Overview &amp; Vision</t>
        </is>
      </c>
    </row>
    <row r="5">
      <c r="A5" s="19" t="inlineStr">
        <is>
          <t>Project Name</t>
        </is>
      </c>
      <c r="B5" s="20" t="inlineStr">
        <is>
          <t>Personal Health Infrastructure &amp; Chronic Illness Governance (CFS/ME &amp; Mental Health)</t>
        </is>
      </c>
      <c r="C5" s="4" t="n"/>
    </row>
    <row r="6">
      <c r="A6" s="19" t="inlineStr">
        <is>
          <t>Sponsor / Leader</t>
        </is>
      </c>
      <c r="B6" s="20" t="inlineStr">
        <is>
          <t>Self (Project Lead) with Care Team Support</t>
        </is>
      </c>
      <c r="C6" s="4" t="n"/>
    </row>
    <row r="7">
      <c r="A7" s="19" t="inlineStr">
        <is>
          <t>Primary Vision</t>
        </is>
      </c>
      <c r="B7" s="20" t="inlineStr">
        <is>
          <t>Achieve sustainable baseline stability, prevent Post-Exertional Malaise (PEM), and optimize cognitive/physical energy delivery.</t>
        </is>
      </c>
      <c r="C7" s="4" t="n"/>
    </row>
    <row r="8"/>
    <row r="9">
      <c r="A9" s="18" t="inlineStr">
        <is>
          <t>2. Strategic Scope Boundaries</t>
        </is>
      </c>
    </row>
    <row r="10">
      <c r="A10" s="19" t="inlineStr">
        <is>
          <t>In-Scope Activities</t>
        </is>
      </c>
      <c r="B10" s="20" t="inlineStr">
        <is>
          <t>Daily energy pacing, medical appointment planning, symptom tracking, cognitive workload capping, baseline restoration protocol.</t>
        </is>
      </c>
      <c r="C10" s="4" t="n"/>
    </row>
    <row r="11">
      <c r="A11" s="19" t="inlineStr">
        <is>
          <t>Out-of-Scope (Boundaries)</t>
        </is>
      </c>
      <c r="B11" s="20" t="inlineStr">
        <is>
          <t>Over-exertion, rigid time commitments without buffer, unplanned high-intensity physical activities, high-stress cognitive tasks without breaks.</t>
        </is>
      </c>
      <c r="C11" s="4" t="n"/>
    </row>
    <row r="12">
      <c r="A12" s="19" t="inlineStr">
        <is>
          <t>Key Assumptions</t>
        </is>
      </c>
      <c r="B12" s="20" t="inlineStr">
        <is>
          <t>Daily baseline energy is non-linear and variable (10-30 Spoons). Recovery requires enforced rest periods.</t>
        </is>
      </c>
      <c r="C12" s="4" t="n"/>
    </row>
    <row r="13"/>
    <row r="14">
      <c r="A14" s="18" t="inlineStr">
        <is>
          <t>3. Success Criteria &amp; Metrics</t>
        </is>
      </c>
    </row>
    <row r="15">
      <c r="A15" s="19" t="inlineStr">
        <is>
          <t>Primary KPI 1</t>
        </is>
      </c>
      <c r="B15" s="20" t="inlineStr">
        <is>
          <t>PEM Trigger Reduction: Zero severe post-exertional crashes per month.</t>
        </is>
      </c>
      <c r="C15" s="4" t="n"/>
    </row>
    <row r="16">
      <c r="A16" s="19" t="inlineStr">
        <is>
          <t>Primary KPI 2</t>
        </is>
      </c>
      <c r="B16" s="20" t="inlineStr">
        <is>
          <t>Pacing Compliance Index &gt;= 90% across weekly cycles.</t>
        </is>
      </c>
      <c r="C16" s="4" t="n"/>
    </row>
    <row r="17">
      <c r="A17" s="19" t="inlineStr">
        <is>
          <t>Primary KPI 3</t>
        </is>
      </c>
      <c r="B17" s="20" t="inlineStr">
        <is>
          <t>Consistent symptom tracking completion and medical review readiness.</t>
        </is>
      </c>
      <c r="C17" s="4" t="n"/>
    </row>
  </sheetData>
  <mergeCells count="12">
    <mergeCell ref="B6:C6"/>
    <mergeCell ref="B16:C16"/>
    <mergeCell ref="B15:C15"/>
    <mergeCell ref="B7:C7"/>
    <mergeCell ref="B11:C11"/>
    <mergeCell ref="B5:C5"/>
    <mergeCell ref="A14:C14"/>
    <mergeCell ref="B10:C10"/>
    <mergeCell ref="A9:C9"/>
    <mergeCell ref="B17:C17"/>
    <mergeCell ref="A4:C4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57" customWidth="1" min="3" max="3"/>
    <col width="14" customWidth="1" min="4" max="4"/>
    <col width="28" customWidth="1" min="5" max="5"/>
    <col width="17" customWidth="1" min="6" max="6"/>
    <col width="15" customWidth="1" min="7" max="7"/>
    <col width="20" customWidth="1" min="8" max="8"/>
  </cols>
  <sheetData>
    <row r="1">
      <c r="A1" s="1" t="inlineStr">
        <is>
          <t>Work Breakdown Structure (WBS) &amp; Pacing Schedule</t>
        </is>
      </c>
    </row>
    <row r="2">
      <c r="A2" s="2" t="inlineStr">
        <is>
          <t>Granular activity breakdown with assigned energy costs (Spoon Theory) and priority</t>
        </is>
      </c>
    </row>
    <row r="3"/>
    <row r="4">
      <c r="A4" s="9" t="inlineStr">
        <is>
          <t>WBS ID</t>
        </is>
      </c>
      <c r="B4" s="9" t="inlineStr">
        <is>
          <t>Workstream / Domain</t>
        </is>
      </c>
      <c r="C4" s="9" t="inlineStr">
        <is>
          <t>Deliverable / Activity Name</t>
        </is>
      </c>
      <c r="D4" s="9" t="inlineStr">
        <is>
          <t>Priority</t>
        </is>
      </c>
      <c r="E4" s="9" t="inlineStr">
        <is>
          <t>Energy Cost (1-5 Spoons)</t>
        </is>
      </c>
      <c r="F4" s="9" t="inlineStr">
        <is>
          <t>Est. Duration</t>
        </is>
      </c>
      <c r="G4" s="9" t="inlineStr">
        <is>
          <t>Status</t>
        </is>
      </c>
      <c r="H4" s="9" t="inlineStr">
        <is>
          <t>Dependencies</t>
        </is>
      </c>
    </row>
    <row r="5">
      <c r="A5" s="21" t="inlineStr">
        <is>
          <t>1.1.1</t>
        </is>
      </c>
      <c r="B5" s="22" t="inlineStr">
        <is>
          <t>Medical Governance</t>
        </is>
      </c>
      <c r="C5" s="22" t="inlineStr">
        <is>
          <t>Monthly Specialist Consultation Preparation</t>
        </is>
      </c>
      <c r="D5" s="21" t="inlineStr">
        <is>
          <t>High</t>
        </is>
      </c>
      <c r="E5" s="21" t="n">
        <v>3</v>
      </c>
      <c r="F5" s="22" t="inlineStr">
        <is>
          <t>2 Hours</t>
        </is>
      </c>
      <c r="G5" s="21" t="inlineStr">
        <is>
          <t>Completed</t>
        </is>
      </c>
      <c r="H5" s="22" t="inlineStr">
        <is>
          <t>Symptom Log</t>
        </is>
      </c>
    </row>
    <row r="6">
      <c r="A6" s="23" t="inlineStr">
        <is>
          <t>1.1.2</t>
        </is>
      </c>
      <c r="B6" s="24" t="inlineStr">
        <is>
          <t>Medical Governance</t>
        </is>
      </c>
      <c r="C6" s="24" t="inlineStr">
        <is>
          <t>Prescription &amp; Supplement Refill Workflow</t>
        </is>
      </c>
      <c r="D6" s="23" t="inlineStr">
        <is>
          <t>Medium</t>
        </is>
      </c>
      <c r="E6" s="23" t="n">
        <v>1</v>
      </c>
      <c r="F6" s="24" t="inlineStr">
        <is>
          <t>30 Mins</t>
        </is>
      </c>
      <c r="G6" s="23" t="inlineStr">
        <is>
          <t>In Progress</t>
        </is>
      </c>
      <c r="H6" s="24" t="inlineStr">
        <is>
          <t>None</t>
        </is>
      </c>
    </row>
    <row r="7">
      <c r="A7" s="21" t="inlineStr">
        <is>
          <t>1.2.1</t>
        </is>
      </c>
      <c r="B7" s="22" t="inlineStr">
        <is>
          <t>Daily Pacing</t>
        </is>
      </c>
      <c r="C7" s="22" t="inlineStr">
        <is>
          <t>Morning Baseline Assessment &amp; Spoon Allocation</t>
        </is>
      </c>
      <c r="D7" s="21" t="inlineStr">
        <is>
          <t>High</t>
        </is>
      </c>
      <c r="E7" s="21" t="n">
        <v>1</v>
      </c>
      <c r="F7" s="22" t="inlineStr">
        <is>
          <t>10 Mins</t>
        </is>
      </c>
      <c r="G7" s="21" t="inlineStr">
        <is>
          <t>In Progress</t>
        </is>
      </c>
      <c r="H7" s="22" t="inlineStr">
        <is>
          <t>Daily Log</t>
        </is>
      </c>
    </row>
    <row r="8">
      <c r="A8" s="23" t="inlineStr">
        <is>
          <t>1.2.2</t>
        </is>
      </c>
      <c r="B8" s="24" t="inlineStr">
        <is>
          <t>Daily Pacing</t>
        </is>
      </c>
      <c r="C8" s="24" t="inlineStr">
        <is>
          <t>Enforced Aggressive Rest (Mid-day Meditation/Silence)</t>
        </is>
      </c>
      <c r="D8" s="23" t="inlineStr">
        <is>
          <t>High</t>
        </is>
      </c>
      <c r="E8" s="23" t="n">
        <v>0</v>
      </c>
      <c r="F8" s="24" t="inlineStr">
        <is>
          <t>45 Mins</t>
        </is>
      </c>
      <c r="G8" s="23" t="inlineStr">
        <is>
          <t>In Progress</t>
        </is>
      </c>
      <c r="H8" s="24" t="inlineStr">
        <is>
          <t>None</t>
        </is>
      </c>
    </row>
    <row r="9">
      <c r="A9" s="21" t="inlineStr">
        <is>
          <t>1.3.1</t>
        </is>
      </c>
      <c r="B9" s="22" t="inlineStr">
        <is>
          <t>Vocational/Work</t>
        </is>
      </c>
      <c r="C9" s="22" t="inlineStr">
        <is>
          <t>Asynchronous Communication Protocol Setup</t>
        </is>
      </c>
      <c r="D9" s="21" t="inlineStr">
        <is>
          <t>High</t>
        </is>
      </c>
      <c r="E9" s="21" t="n">
        <v>2</v>
      </c>
      <c r="F9" s="22" t="inlineStr">
        <is>
          <t>1 Hour</t>
        </is>
      </c>
      <c r="G9" s="21" t="inlineStr">
        <is>
          <t>Completed</t>
        </is>
      </c>
      <c r="H9" s="22" t="inlineStr">
        <is>
          <t>Manager Approval</t>
        </is>
      </c>
    </row>
    <row r="10">
      <c r="A10" s="23" t="inlineStr">
        <is>
          <t>1.3.2</t>
        </is>
      </c>
      <c r="B10" s="24" t="inlineStr">
        <is>
          <t>Vocational/Work</t>
        </is>
      </c>
      <c r="C10" s="24" t="inlineStr">
        <is>
          <t>Cognitive Task Batching (Max 45m blocks)</t>
        </is>
      </c>
      <c r="D10" s="23" t="inlineStr">
        <is>
          <t>High</t>
        </is>
      </c>
      <c r="E10" s="23" t="n">
        <v>4</v>
      </c>
      <c r="F10" s="24" t="inlineStr">
        <is>
          <t>3 Hours</t>
        </is>
      </c>
      <c r="G10" s="23" t="inlineStr">
        <is>
          <t>In Progress</t>
        </is>
      </c>
      <c r="H10" s="24" t="inlineStr">
        <is>
          <t>Pacing Buffer</t>
        </is>
      </c>
    </row>
    <row r="11">
      <c r="A11" s="21" t="inlineStr">
        <is>
          <t>1.4.1</t>
        </is>
      </c>
      <c r="B11" s="22" t="inlineStr">
        <is>
          <t>Mental Health</t>
        </is>
      </c>
      <c r="C11" s="22" t="inlineStr">
        <is>
          <t>Vagus Nerve / Somatic Regulation Exercises</t>
        </is>
      </c>
      <c r="D11" s="21" t="inlineStr">
        <is>
          <t>Medium</t>
        </is>
      </c>
      <c r="E11" s="21" t="n">
        <v>1</v>
      </c>
      <c r="F11" s="22" t="inlineStr">
        <is>
          <t>20 Mins</t>
        </is>
      </c>
      <c r="G11" s="21" t="inlineStr">
        <is>
          <t>In Progress</t>
        </is>
      </c>
      <c r="H11" s="22" t="inlineStr">
        <is>
          <t>None</t>
        </is>
      </c>
    </row>
    <row r="12">
      <c r="A12" s="23" t="inlineStr">
        <is>
          <t>1.4.2</t>
        </is>
      </c>
      <c r="B12" s="24" t="inlineStr">
        <is>
          <t>Mental Health</t>
        </is>
      </c>
      <c r="C12" s="24" t="inlineStr">
        <is>
          <t>Weekly Cognitive Load Reframing / Journaling</t>
        </is>
      </c>
      <c r="D12" s="23" t="inlineStr">
        <is>
          <t>Medium</t>
        </is>
      </c>
      <c r="E12" s="23" t="n">
        <v>2</v>
      </c>
      <c r="F12" s="24" t="inlineStr">
        <is>
          <t>30 Mins</t>
        </is>
      </c>
      <c r="G12" s="23" t="inlineStr">
        <is>
          <t>Planned</t>
        </is>
      </c>
      <c r="H12" s="24" t="inlineStr">
        <is>
          <t>Rest Period</t>
        </is>
      </c>
    </row>
    <row r="13">
      <c r="A13" s="21" t="inlineStr">
        <is>
          <t>1.5.1</t>
        </is>
      </c>
      <c r="B13" s="22" t="inlineStr">
        <is>
          <t>Admin/Household</t>
        </is>
      </c>
      <c r="C13" s="22" t="inlineStr">
        <is>
          <t>Low-Effort Meal Prep / External Support Coordination</t>
        </is>
      </c>
      <c r="D13" s="21" t="inlineStr">
        <is>
          <t>Medium</t>
        </is>
      </c>
      <c r="E13" s="21" t="n">
        <v>3</v>
      </c>
      <c r="F13" s="22" t="inlineStr">
        <is>
          <t>1 Hour</t>
        </is>
      </c>
      <c r="G13" s="21" t="inlineStr">
        <is>
          <t>In Progress</t>
        </is>
      </c>
      <c r="H13" s="22" t="inlineStr">
        <is>
          <t>Budgeting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7" customWidth="1" min="3" max="3"/>
    <col width="21" customWidth="1" min="4" max="4"/>
    <col width="16" customWidth="1" min="5" max="5"/>
    <col width="14" customWidth="1" min="6" max="6"/>
    <col width="58" customWidth="1" min="7" max="7"/>
    <col width="49" customWidth="1" min="8" max="8"/>
    <col width="50" customWidth="1" min="9" max="9"/>
  </cols>
  <sheetData>
    <row r="1">
      <c r="A1" s="1" t="inlineStr">
        <is>
          <t>Risk Management &amp; Flare-up Trigger Register</t>
        </is>
      </c>
    </row>
    <row r="2">
      <c r="A2" s="2" t="inlineStr">
        <is>
          <t>Identification of physical/cognitive triggers, impact scoring, and mitigation protocols</t>
        </is>
      </c>
    </row>
    <row r="3"/>
    <row r="4">
      <c r="A4" s="9" t="inlineStr">
        <is>
          <t>Risk ID</t>
        </is>
      </c>
      <c r="B4" s="9" t="inlineStr">
        <is>
          <t>Trigger / Risk Event Description</t>
        </is>
      </c>
      <c r="C4" s="9" t="inlineStr">
        <is>
          <t>Category</t>
        </is>
      </c>
      <c r="D4" s="9" t="inlineStr">
        <is>
          <t>Probability (1-5)</t>
        </is>
      </c>
      <c r="E4" s="9" t="inlineStr">
        <is>
          <t>Impact (1-5)</t>
        </is>
      </c>
      <c r="F4" s="9" t="inlineStr">
        <is>
          <t>Risk Score</t>
        </is>
      </c>
      <c r="G4" s="9" t="inlineStr">
        <is>
          <t>Severity Rating</t>
        </is>
      </c>
      <c r="H4" s="9" t="inlineStr">
        <is>
          <t>Mitigation Strategy (Pacing Protocol)</t>
        </is>
      </c>
      <c r="I4" s="9" t="inlineStr">
        <is>
          <t>Contingency / Flare Plan</t>
        </is>
      </c>
    </row>
    <row r="5">
      <c r="A5" s="21" t="inlineStr">
        <is>
          <t>R-01</t>
        </is>
      </c>
      <c r="B5" s="22" t="inlineStr">
        <is>
          <t>Cognitive Over-Exertion (&gt;2 hrs uninterrupted focus)</t>
        </is>
      </c>
      <c r="C5" s="21" t="inlineStr">
        <is>
          <t>Cognitive</t>
        </is>
      </c>
      <c r="D5" s="21" t="n">
        <v>4</v>
      </c>
      <c r="E5" s="21" t="n">
        <v>4</v>
      </c>
      <c r="F5" s="25">
        <f>D5*E5</f>
        <v/>
      </c>
      <c r="G5" s="25">
        <f>IF(F5&gt;=15,"HIGH / CRITICAL",IF(F5&gt;=8,"MEDIUM","LOW"))</f>
        <v/>
      </c>
      <c r="H5" s="22" t="inlineStr">
        <is>
          <t>Mitigate immediately with strict 45-min timer</t>
        </is>
      </c>
      <c r="I5" s="22" t="inlineStr">
        <is>
          <t>Initiate 24-hr sensory downtime protocol</t>
        </is>
      </c>
    </row>
    <row r="6">
      <c r="A6" s="23" t="inlineStr">
        <is>
          <t>R-02</t>
        </is>
      </c>
      <c r="B6" s="24" t="inlineStr">
        <is>
          <t>Sensory Overload (Bright lights / noisy environment)</t>
        </is>
      </c>
      <c r="C6" s="23" t="inlineStr">
        <is>
          <t>Environmental</t>
        </is>
      </c>
      <c r="D6" s="23" t="n">
        <v>3</v>
      </c>
      <c r="E6" s="23" t="n">
        <v>3</v>
      </c>
      <c r="F6" s="26">
        <f>D6*E6</f>
        <v/>
      </c>
      <c r="G6" s="26">
        <f>IF(F6&gt;=15,"HIGH / CRITICAL",IF(F6&gt;=8,"MEDIUM","LOW"))</f>
        <v/>
      </c>
      <c r="H6" s="24" t="inlineStr">
        <is>
          <t>Use noise-canceling headphones &amp; dark glasses</t>
        </is>
      </c>
      <c r="I6" s="24" t="inlineStr">
        <is>
          <t>Move to quiet, low-lit recovery room</t>
        </is>
      </c>
    </row>
    <row r="7">
      <c r="A7" s="21" t="inlineStr">
        <is>
          <t>R-03</t>
        </is>
      </c>
      <c r="B7" s="22" t="inlineStr">
        <is>
          <t>Post-Exertional Malaise (PEM) from physical walking &gt;30m</t>
        </is>
      </c>
      <c r="C7" s="21" t="inlineStr">
        <is>
          <t>Physical</t>
        </is>
      </c>
      <c r="D7" s="21" t="n">
        <v>4</v>
      </c>
      <c r="E7" s="21" t="n">
        <v>5</v>
      </c>
      <c r="F7" s="25">
        <f>D7*E7</f>
        <v/>
      </c>
      <c r="G7" s="25">
        <f>IF(F7&gt;=15,"HIGH / CRITICAL",IF(F7&gt;=8,"MEDIUM","LOW"))</f>
        <v/>
      </c>
      <c r="H7" s="22" t="inlineStr">
        <is>
          <t>Pacing &amp; planned seated breaks every 10 mins</t>
        </is>
      </c>
      <c r="I7" s="22" t="inlineStr">
        <is>
          <t>Complete horizontal bed rest for 48 hours</t>
        </is>
      </c>
    </row>
    <row r="8">
      <c r="A8" s="23" t="inlineStr">
        <is>
          <t>R-04</t>
        </is>
      </c>
      <c r="B8" s="24" t="inlineStr">
        <is>
          <t>Sleep Disturbance / Insomnia Flare</t>
        </is>
      </c>
      <c r="C8" s="23" t="inlineStr">
        <is>
          <t>Physiological</t>
        </is>
      </c>
      <c r="D8" s="23" t="n">
        <v>3</v>
      </c>
      <c r="E8" s="23" t="n">
        <v>4</v>
      </c>
      <c r="F8" s="26">
        <f>D8*E8</f>
        <v/>
      </c>
      <c r="G8" s="26">
        <f>IF(F8&gt;=15,"HIGH / CRITICAL",IF(F8&gt;=8,"MEDIUM","LOW"))</f>
        <v/>
      </c>
      <c r="H8" s="24" t="inlineStr">
        <is>
          <t>Strict sleep hygiene, no screens after 9 PM</t>
        </is>
      </c>
      <c r="I8" s="24" t="inlineStr">
        <is>
          <t>Adjust next day's Spoon allocation down by 50%</t>
        </is>
      </c>
    </row>
    <row r="9">
      <c r="A9" s="21" t="inlineStr">
        <is>
          <t>R-05</t>
        </is>
      </c>
      <c r="B9" s="22" t="inlineStr">
        <is>
          <t>Emotional Stress / Overwhelm from complex scheduling</t>
        </is>
      </c>
      <c r="C9" s="21" t="inlineStr">
        <is>
          <t>Emotional</t>
        </is>
      </c>
      <c r="D9" s="21" t="n">
        <v>2</v>
      </c>
      <c r="E9" s="21" t="n">
        <v>4</v>
      </c>
      <c r="F9" s="25">
        <f>D9*E9</f>
        <v/>
      </c>
      <c r="G9" s="25">
        <f>IF(F9&gt;=15,"HIGH / CRITICAL",IF(F9&gt;=8,"MEDIUM","LOW"))</f>
        <v/>
      </c>
      <c r="H9" s="22" t="inlineStr">
        <is>
          <t>Delegate or postpone non-essential deadlines</t>
        </is>
      </c>
      <c r="I9" s="22" t="inlineStr">
        <is>
          <t>Activate Care Team / Supporter check-in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8" customWidth="1" min="2" max="2"/>
    <col width="27" customWidth="1" min="3" max="3"/>
    <col width="25" customWidth="1" min="4" max="4"/>
    <col width="29" customWidth="1" min="5" max="5"/>
    <col width="74" customWidth="1" min="6" max="6"/>
  </cols>
  <sheetData>
    <row r="1">
      <c r="A1" s="1" t="inlineStr">
        <is>
          <t>Stakeholder &amp; Care Team RACI Matrix</t>
        </is>
      </c>
    </row>
    <row r="2">
      <c r="A2" s="2" t="inlineStr">
        <is>
          <t>Governance structure for healthcare providers, support network, and personal advocates</t>
        </is>
      </c>
    </row>
    <row r="3"/>
    <row r="4">
      <c r="A4" s="9" t="inlineStr">
        <is>
          <t>Stakeholder Name</t>
        </is>
      </c>
      <c r="B4" s="9" t="inlineStr">
        <is>
          <t>Role / Domain</t>
        </is>
      </c>
      <c r="C4" s="9" t="inlineStr">
        <is>
          <t>RACI Role</t>
        </is>
      </c>
      <c r="D4" s="9" t="inlineStr">
        <is>
          <t>Communication Cadence</t>
        </is>
      </c>
      <c r="E4" s="9" t="inlineStr">
        <is>
          <t>Primary Preferred Channel</t>
        </is>
      </c>
      <c r="F4" s="9" t="inlineStr">
        <is>
          <t>Support Responsibility / Notes</t>
        </is>
      </c>
    </row>
    <row r="5">
      <c r="A5" s="22" t="inlineStr">
        <is>
          <t>Primary Care Physician</t>
        </is>
      </c>
      <c r="B5" s="22" t="inlineStr">
        <is>
          <t>Medical Lead</t>
        </is>
      </c>
      <c r="C5" s="21" t="inlineStr">
        <is>
          <t>Accountable / Consulted</t>
        </is>
      </c>
      <c r="D5" s="21" t="inlineStr">
        <is>
          <t>Monthly / As Needed</t>
        </is>
      </c>
      <c r="E5" s="21" t="inlineStr">
        <is>
          <t>E-Portal / In-Person</t>
        </is>
      </c>
      <c r="F5" s="22" t="inlineStr">
        <is>
          <t>Oversees overall treatment plan, lab orders, prescription reviews</t>
        </is>
      </c>
    </row>
    <row r="6">
      <c r="A6" s="24" t="inlineStr">
        <is>
          <t>Specialist (Rheumatologist/Neurologist)</t>
        </is>
      </c>
      <c r="B6" s="24" t="inlineStr">
        <is>
          <t>CFS Specialist</t>
        </is>
      </c>
      <c r="C6" s="23" t="inlineStr">
        <is>
          <t>Consulted</t>
        </is>
      </c>
      <c r="D6" s="23" t="inlineStr">
        <is>
          <t>Quarterly</t>
        </is>
      </c>
      <c r="E6" s="23" t="inlineStr">
        <is>
          <t>Specialist Clinic</t>
        </is>
      </c>
      <c r="F6" s="24" t="inlineStr">
        <is>
          <t>Monitors systemic inflammatory markers &amp; autonomic function</t>
        </is>
      </c>
    </row>
    <row r="7">
      <c r="A7" s="22" t="inlineStr">
        <is>
          <t>Psychotherapist / Counselor</t>
        </is>
      </c>
      <c r="B7" s="22" t="inlineStr">
        <is>
          <t>Mental Health</t>
        </is>
      </c>
      <c r="C7" s="21" t="inlineStr">
        <is>
          <t>Consulted</t>
        </is>
      </c>
      <c r="D7" s="21" t="inlineStr">
        <is>
          <t>Bi-Weekly</t>
        </is>
      </c>
      <c r="E7" s="21" t="inlineStr">
        <is>
          <t>Telehealth Video</t>
        </is>
      </c>
      <c r="F7" s="22" t="inlineStr">
        <is>
          <t>Pacing mindset, cognitive behavior adjustment, emotional regulation</t>
        </is>
      </c>
    </row>
    <row r="8">
      <c r="A8" s="24" t="inlineStr">
        <is>
          <t>Primary Caregiver / Partner</t>
        </is>
      </c>
      <c r="B8" s="24" t="inlineStr">
        <is>
          <t>Daily Support</t>
        </is>
      </c>
      <c r="C8" s="23" t="inlineStr">
        <is>
          <t>Responsible</t>
        </is>
      </c>
      <c r="D8" s="23" t="inlineStr">
        <is>
          <t>Daily</t>
        </is>
      </c>
      <c r="E8" s="23" t="inlineStr">
        <is>
          <t>In-Person</t>
        </is>
      </c>
      <c r="F8" s="24" t="inlineStr">
        <is>
          <t>Assists with meal logistics, pacing enforcement, flare mitigation</t>
        </is>
      </c>
    </row>
    <row r="9">
      <c r="A9" s="22" t="inlineStr">
        <is>
          <t>Workplace HR / Manager</t>
        </is>
      </c>
      <c r="B9" s="22" t="inlineStr">
        <is>
          <t>Employer Lead</t>
        </is>
      </c>
      <c r="C9" s="21" t="inlineStr">
        <is>
          <t>Informed</t>
        </is>
      </c>
      <c r="D9" s="21" t="inlineStr">
        <is>
          <t>Monthly</t>
        </is>
      </c>
      <c r="E9" s="21" t="inlineStr">
        <is>
          <t>Email Summary</t>
        </is>
      </c>
      <c r="F9" s="22" t="inlineStr">
        <is>
          <t>Coordinates remote work accommodations, async schedules, workload caps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3" customWidth="1" min="3" max="3"/>
    <col width="19" customWidth="1" min="4" max="4"/>
    <col width="23" customWidth="1" min="5" max="5"/>
    <col width="27" customWidth="1" min="6" max="6"/>
    <col width="30" customWidth="1" min="7" max="7"/>
    <col width="25" customWidth="1" min="8" max="8"/>
  </cols>
  <sheetData>
    <row r="1">
      <c r="A1" s="1" t="inlineStr">
        <is>
          <t>Daily Health Metrics &amp; Pacing Tracker (Earned Value Analog)</t>
        </is>
      </c>
    </row>
    <row r="2">
      <c r="A2" s="2" t="inlineStr">
        <is>
          <t>Daily log monitoring planned vs actual energy expenditure, symptom levels, and pacing compliance</t>
        </is>
      </c>
    </row>
    <row r="3"/>
    <row r="4">
      <c r="A4" s="9" t="inlineStr">
        <is>
          <t>Day / Date</t>
        </is>
      </c>
      <c r="B4" s="9" t="inlineStr">
        <is>
          <t>Planned Baseline Spoons</t>
        </is>
      </c>
      <c r="C4" s="9" t="inlineStr">
        <is>
          <t>Actual Spoons Spent</t>
        </is>
      </c>
      <c r="D4" s="9" t="inlineStr">
        <is>
          <t>Pacing Variance</t>
        </is>
      </c>
      <c r="E4" s="9" t="inlineStr">
        <is>
          <t>Pacing Compliance %</t>
        </is>
      </c>
      <c r="F4" s="9" t="inlineStr">
        <is>
          <t>Symptom Severity (1-10)</t>
        </is>
      </c>
      <c r="G4" s="9" t="inlineStr">
        <is>
          <t>Mental Health Score (1-10)</t>
        </is>
      </c>
      <c r="H4" s="9" t="inlineStr">
        <is>
          <t>Status / Notes</t>
        </is>
      </c>
    </row>
    <row r="5">
      <c r="A5" s="21" t="inlineStr">
        <is>
          <t>Day 1</t>
        </is>
      </c>
      <c r="B5" s="12" t="n">
        <v>20</v>
      </c>
      <c r="C5" s="12" t="n">
        <v>18</v>
      </c>
      <c r="D5" s="12">
        <f>B5-C5</f>
        <v/>
      </c>
      <c r="E5" s="11">
        <f>1-ABS(D5)/B5</f>
        <v/>
      </c>
      <c r="F5" s="21" t="n">
        <v>3</v>
      </c>
      <c r="G5" s="21" t="n">
        <v>8</v>
      </c>
      <c r="H5" s="22" t="inlineStr">
        <is>
          <t>Balanced Day</t>
        </is>
      </c>
    </row>
    <row r="6">
      <c r="A6" s="23" t="inlineStr">
        <is>
          <t>Day 2</t>
        </is>
      </c>
      <c r="B6" s="16" t="n">
        <v>20</v>
      </c>
      <c r="C6" s="16" t="n">
        <v>18</v>
      </c>
      <c r="D6" s="16">
        <f>B6-C6</f>
        <v/>
      </c>
      <c r="E6" s="15">
        <f>1-ABS(D6)/B6</f>
        <v/>
      </c>
      <c r="F6" s="23" t="n">
        <v>3</v>
      </c>
      <c r="G6" s="23" t="n">
        <v>8</v>
      </c>
      <c r="H6" s="24" t="inlineStr">
        <is>
          <t>Balanced Day</t>
        </is>
      </c>
    </row>
    <row r="7">
      <c r="A7" s="21" t="inlineStr">
        <is>
          <t>Day 3</t>
        </is>
      </c>
      <c r="B7" s="12" t="n">
        <v>20</v>
      </c>
      <c r="C7" s="12" t="n">
        <v>20</v>
      </c>
      <c r="D7" s="12">
        <f>B7-C7</f>
        <v/>
      </c>
      <c r="E7" s="11">
        <f>1-ABS(D7)/B7</f>
        <v/>
      </c>
      <c r="F7" s="21" t="n">
        <v>3</v>
      </c>
      <c r="G7" s="21" t="n">
        <v>8</v>
      </c>
      <c r="H7" s="22" t="inlineStr">
        <is>
          <t>Balanced Day</t>
        </is>
      </c>
    </row>
    <row r="8">
      <c r="A8" s="23" t="inlineStr">
        <is>
          <t>Day 4</t>
        </is>
      </c>
      <c r="B8" s="16" t="n">
        <v>20</v>
      </c>
      <c r="C8" s="16" t="n">
        <v>18</v>
      </c>
      <c r="D8" s="16">
        <f>B8-C8</f>
        <v/>
      </c>
      <c r="E8" s="15">
        <f>1-ABS(D8)/B8</f>
        <v/>
      </c>
      <c r="F8" s="23" t="n">
        <v>3</v>
      </c>
      <c r="G8" s="23" t="n">
        <v>8</v>
      </c>
      <c r="H8" s="24" t="inlineStr">
        <is>
          <t>Balanced Day</t>
        </is>
      </c>
    </row>
    <row r="9">
      <c r="A9" s="21" t="inlineStr">
        <is>
          <t>Day 5</t>
        </is>
      </c>
      <c r="B9" s="12" t="n">
        <v>20</v>
      </c>
      <c r="C9" s="12" t="n">
        <v>18</v>
      </c>
      <c r="D9" s="12">
        <f>B9-C9</f>
        <v/>
      </c>
      <c r="E9" s="11">
        <f>1-ABS(D9)/B9</f>
        <v/>
      </c>
      <c r="F9" s="21" t="n">
        <v>3</v>
      </c>
      <c r="G9" s="21" t="n">
        <v>8</v>
      </c>
      <c r="H9" s="22" t="inlineStr">
        <is>
          <t>Balanced Day</t>
        </is>
      </c>
    </row>
    <row r="10">
      <c r="A10" s="23" t="inlineStr">
        <is>
          <t>Day 6</t>
        </is>
      </c>
      <c r="B10" s="16" t="n">
        <v>20</v>
      </c>
      <c r="C10" s="16" t="n">
        <v>22</v>
      </c>
      <c r="D10" s="16">
        <f>B10-C10</f>
        <v/>
      </c>
      <c r="E10" s="15">
        <f>1-ABS(D10)/B10</f>
        <v/>
      </c>
      <c r="F10" s="23" t="n">
        <v>6</v>
      </c>
      <c r="G10" s="23" t="n">
        <v>5</v>
      </c>
      <c r="H10" s="24" t="inlineStr">
        <is>
          <t>Minor Flare / Resting</t>
        </is>
      </c>
    </row>
    <row r="11">
      <c r="A11" s="21" t="inlineStr">
        <is>
          <t>Day 7</t>
        </is>
      </c>
      <c r="B11" s="12" t="n">
        <v>20</v>
      </c>
      <c r="C11" s="12" t="n">
        <v>18</v>
      </c>
      <c r="D11" s="12">
        <f>B11-C11</f>
        <v/>
      </c>
      <c r="E11" s="11">
        <f>1-ABS(D11)/B11</f>
        <v/>
      </c>
      <c r="F11" s="21" t="n">
        <v>3</v>
      </c>
      <c r="G11" s="21" t="n">
        <v>8</v>
      </c>
      <c r="H11" s="22" t="inlineStr">
        <is>
          <t>Balanced Day</t>
        </is>
      </c>
    </row>
    <row r="12">
      <c r="A12" s="23" t="inlineStr">
        <is>
          <t>Day 8</t>
        </is>
      </c>
      <c r="B12" s="16" t="n">
        <v>20</v>
      </c>
      <c r="C12" s="16" t="n">
        <v>18</v>
      </c>
      <c r="D12" s="16">
        <f>B12-C12</f>
        <v/>
      </c>
      <c r="E12" s="15">
        <f>1-ABS(D12)/B12</f>
        <v/>
      </c>
      <c r="F12" s="23" t="n">
        <v>3</v>
      </c>
      <c r="G12" s="23" t="n">
        <v>8</v>
      </c>
      <c r="H12" s="24" t="inlineStr">
        <is>
          <t>Balanced Day</t>
        </is>
      </c>
    </row>
    <row r="13">
      <c r="A13" s="21" t="inlineStr">
        <is>
          <t>Day 9</t>
        </is>
      </c>
      <c r="B13" s="12" t="n">
        <v>20</v>
      </c>
      <c r="C13" s="12" t="n">
        <v>20</v>
      </c>
      <c r="D13" s="12">
        <f>B13-C13</f>
        <v/>
      </c>
      <c r="E13" s="11">
        <f>1-ABS(D13)/B13</f>
        <v/>
      </c>
      <c r="F13" s="21" t="n">
        <v>3</v>
      </c>
      <c r="G13" s="21" t="n">
        <v>8</v>
      </c>
      <c r="H13" s="22" t="inlineStr">
        <is>
          <t>Balanced Day</t>
        </is>
      </c>
    </row>
    <row r="14">
      <c r="A14" s="23" t="inlineStr">
        <is>
          <t>Day 10</t>
        </is>
      </c>
      <c r="B14" s="16" t="n">
        <v>20</v>
      </c>
      <c r="C14" s="16" t="n">
        <v>18</v>
      </c>
      <c r="D14" s="16">
        <f>B14-C14</f>
        <v/>
      </c>
      <c r="E14" s="15">
        <f>1-ABS(D14)/B14</f>
        <v/>
      </c>
      <c r="F14" s="23" t="n">
        <v>3</v>
      </c>
      <c r="G14" s="23" t="n">
        <v>8</v>
      </c>
      <c r="H14" s="24" t="inlineStr">
        <is>
          <t>Balanced Day</t>
        </is>
      </c>
    </row>
    <row r="15">
      <c r="A15" s="21" t="inlineStr">
        <is>
          <t>Day 11</t>
        </is>
      </c>
      <c r="B15" s="12" t="n">
        <v>20</v>
      </c>
      <c r="C15" s="12" t="n">
        <v>18</v>
      </c>
      <c r="D15" s="12">
        <f>B15-C15</f>
        <v/>
      </c>
      <c r="E15" s="11">
        <f>1-ABS(D15)/B15</f>
        <v/>
      </c>
      <c r="F15" s="21" t="n">
        <v>3</v>
      </c>
      <c r="G15" s="21" t="n">
        <v>8</v>
      </c>
      <c r="H15" s="22" t="inlineStr">
        <is>
          <t>Balanced Day</t>
        </is>
      </c>
    </row>
    <row r="16">
      <c r="A16" s="23" t="inlineStr">
        <is>
          <t>Day 12</t>
        </is>
      </c>
      <c r="B16" s="16" t="n">
        <v>20</v>
      </c>
      <c r="C16" s="16" t="n">
        <v>22</v>
      </c>
      <c r="D16" s="16">
        <f>B16-C16</f>
        <v/>
      </c>
      <c r="E16" s="15">
        <f>1-ABS(D16)/B16</f>
        <v/>
      </c>
      <c r="F16" s="23" t="n">
        <v>6</v>
      </c>
      <c r="G16" s="23" t="n">
        <v>5</v>
      </c>
      <c r="H16" s="24" t="inlineStr">
        <is>
          <t>Minor Flare / Resting</t>
        </is>
      </c>
    </row>
    <row r="17">
      <c r="A17" s="21" t="inlineStr">
        <is>
          <t>Day 13</t>
        </is>
      </c>
      <c r="B17" s="12" t="n">
        <v>20</v>
      </c>
      <c r="C17" s="12" t="n">
        <v>18</v>
      </c>
      <c r="D17" s="12">
        <f>B17-C17</f>
        <v/>
      </c>
      <c r="E17" s="11">
        <f>1-ABS(D17)/B17</f>
        <v/>
      </c>
      <c r="F17" s="21" t="n">
        <v>3</v>
      </c>
      <c r="G17" s="21" t="n">
        <v>8</v>
      </c>
      <c r="H17" s="22" t="inlineStr">
        <is>
          <t>Balanced Day</t>
        </is>
      </c>
    </row>
    <row r="18">
      <c r="A18" s="23" t="inlineStr">
        <is>
          <t>Day 14</t>
        </is>
      </c>
      <c r="B18" s="16" t="n">
        <v>20</v>
      </c>
      <c r="C18" s="16" t="n">
        <v>18</v>
      </c>
      <c r="D18" s="16">
        <f>B18-C18</f>
        <v/>
      </c>
      <c r="E18" s="15">
        <f>1-ABS(D18)/B18</f>
        <v/>
      </c>
      <c r="F18" s="23" t="n">
        <v>3</v>
      </c>
      <c r="G18" s="23" t="n">
        <v>8</v>
      </c>
      <c r="H18" s="24" t="inlineStr">
        <is>
          <t>Balanced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2026-07-25T03:41:02Z</dcterms:created>
  <dcterms:modified xmlns:dcterms="http://purl.org/dc/terms/" xmlns:xsi="http://www.w3.org/2001/XMLSchema-instance" xsi:type="dcterms:W3CDTF">2026-07-25T03:41:02Z</dcterms:modified>
</cp:coreProperties>
</file>